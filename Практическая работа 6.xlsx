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Алимжанова\"/>
    </mc:Choice>
  </mc:AlternateContent>
  <bookViews>
    <workbookView xWindow="0" yWindow="0" windowWidth="20616" windowHeight="12264"/>
  </bookViews>
  <sheets>
    <sheet name="Статистика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1" l="1"/>
  <c r="I20" i="1"/>
  <c r="I19" i="1"/>
  <c r="E42" i="1"/>
  <c r="E41" i="1"/>
  <c r="E40" i="1"/>
  <c r="E39" i="1"/>
  <c r="E38" i="1"/>
  <c r="I2" i="1"/>
  <c r="E37" i="1"/>
  <c r="E36" i="1"/>
  <c r="E35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20" i="1"/>
  <c r="E21" i="1" l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20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</calcChain>
</file>

<file path=xl/sharedStrings.xml><?xml version="1.0" encoding="utf-8"?>
<sst xmlns="http://schemas.openxmlformats.org/spreadsheetml/2006/main" count="58" uniqueCount="53">
  <si>
    <t>№</t>
  </si>
  <si>
    <t>ФИО студента</t>
  </si>
  <si>
    <t>Балл 1 (тест)</t>
  </si>
  <si>
    <t>Балл 3 (проект)</t>
  </si>
  <si>
    <t>Балл 2 (практика)</t>
  </si>
  <si>
    <t>Сумма баллов</t>
  </si>
  <si>
    <t>Средний балл</t>
  </si>
  <si>
    <t>Иванов И.И.</t>
  </si>
  <si>
    <t>Петров П.П.</t>
  </si>
  <si>
    <t>Сидорова С.С.</t>
  </si>
  <si>
    <t>Кузнецов К.К.</t>
  </si>
  <si>
    <t>Смирнова С.С.</t>
  </si>
  <si>
    <t>Волков В.В.</t>
  </si>
  <si>
    <t>Морозова М.М.</t>
  </si>
  <si>
    <t>Новиков Н.Н.</t>
  </si>
  <si>
    <t>Фёдорова Ф.Ф.</t>
  </si>
  <si>
    <t>Егоров Е.Е.</t>
  </si>
  <si>
    <t>Павлова П.П.</t>
  </si>
  <si>
    <t>Соколов С.С.</t>
  </si>
  <si>
    <t>Лебедева Л.Л.</t>
  </si>
  <si>
    <t>Козлов К.К.</t>
  </si>
  <si>
    <t>Степанова С.С.</t>
  </si>
  <si>
    <t>Медиана</t>
  </si>
  <si>
    <t>Мода</t>
  </si>
  <si>
    <t>Минимум</t>
  </si>
  <si>
    <t>Максимум</t>
  </si>
  <si>
    <t>Товар</t>
  </si>
  <si>
    <t>Цена (руб.)</t>
  </si>
  <si>
    <t>Продано (шт.)</t>
  </si>
  <si>
    <t>Ноутбук</t>
  </si>
  <si>
    <t>Монитор</t>
  </si>
  <si>
    <t>Клавиатура</t>
  </si>
  <si>
    <t>Мышь</t>
  </si>
  <si>
    <t>Принтер</t>
  </si>
  <si>
    <t>Сканер</t>
  </si>
  <si>
    <t>Флешка 32ГБ</t>
  </si>
  <si>
    <t>Внешний HDD</t>
  </si>
  <si>
    <t>Веб‑камера</t>
  </si>
  <si>
    <t>Наушники</t>
  </si>
  <si>
    <t>Коврик для мыши</t>
  </si>
  <si>
    <t>USB‑хаб</t>
  </si>
  <si>
    <t>Картридж</t>
  </si>
  <si>
    <t>Бумага А4</t>
  </si>
  <si>
    <t>Роутер</t>
  </si>
  <si>
    <t>Выручка</t>
  </si>
  <si>
    <t>Категория</t>
  </si>
  <si>
    <t>Сумма</t>
  </si>
  <si>
    <t>Среднее</t>
  </si>
  <si>
    <t>Стандартное откл</t>
  </si>
  <si>
    <t>Дисперсия</t>
  </si>
  <si>
    <t>Количество товаров категории «Топ»</t>
  </si>
  <si>
    <t>Сумма выручки товаров категории «Топ»</t>
  </si>
  <si>
    <t>Средняя выручка товаров категории «Средний»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</si>
</sst>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0.0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top" wrapText="1"/>
    </xf>
    <xf numFmtId="1" fontId="2" fillId="3" borderId="1" xfId="0" applyNumberFormat="1" applyFont="1" applyFill="1" applyBorder="1" applyAlignment="1">
      <alignment vertical="center"/>
    </xf>
    <xf numFmtId="1" fontId="2" fillId="3" borderId="1" xfId="0" applyNumberFormat="1" applyFont="1" applyFill="1" applyBorder="1" applyAlignment="1">
      <alignment vertical="top"/>
    </xf>
    <xf numFmtId="0" fontId="0" fillId="0" borderId="1" xfId="0" applyFill="1" applyBorder="1"/>
    <xf numFmtId="167" fontId="0" fillId="0" borderId="1" xfId="0" applyNumberFormat="1" applyFill="1" applyBorder="1"/>
    <xf numFmtId="0" fontId="0" fillId="0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abSelected="1" workbookViewId="0">
      <selection activeCell="H32" sqref="H32"/>
    </sheetView>
  </sheetViews>
  <sheetFormatPr defaultRowHeight="14.4" x14ac:dyDescent="0.3"/>
  <cols>
    <col min="1" max="1" width="5.6640625" bestFit="1" customWidth="1"/>
    <col min="2" max="2" width="16.44140625" customWidth="1"/>
    <col min="3" max="3" width="11.77734375" bestFit="1" customWidth="1"/>
    <col min="4" max="4" width="16.109375" bestFit="1" customWidth="1"/>
    <col min="5" max="5" width="14" bestFit="1" customWidth="1"/>
    <col min="6" max="6" width="13.44140625" bestFit="1" customWidth="1"/>
    <col min="7" max="7" width="13.21875" bestFit="1" customWidth="1"/>
    <col min="8" max="8" width="43.21875" bestFit="1" customWidth="1"/>
    <col min="9" max="9" width="8" bestFit="1" customWidth="1"/>
    <col min="10" max="10" width="10" bestFit="1" customWidth="1"/>
    <col min="11" max="11" width="10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 x14ac:dyDescent="0.3">
      <c r="A2" s="2">
        <v>1</v>
      </c>
      <c r="B2" s="2" t="s">
        <v>7</v>
      </c>
      <c r="C2" s="3">
        <v>85</v>
      </c>
      <c r="D2" s="3">
        <v>78</v>
      </c>
      <c r="E2" s="3">
        <v>92</v>
      </c>
      <c r="F2" s="3">
        <f>SUM(C2:E2)</f>
        <v>255</v>
      </c>
      <c r="G2" s="3">
        <f>AVERAGE(C2,D2,E2)</f>
        <v>85</v>
      </c>
      <c r="H2" s="3">
        <f>MEDIAN(C2,D2,E2)</f>
        <v>85</v>
      </c>
      <c r="I2" s="2" t="str">
        <f>IFERROR(_xlfn.MODE.SNGL(C2:E2), "Нет")</f>
        <v>Нет</v>
      </c>
      <c r="J2" s="3">
        <f>MIN(C2:E2)</f>
        <v>78</v>
      </c>
      <c r="K2" s="3">
        <f>MAX(C2:E2)</f>
        <v>92</v>
      </c>
    </row>
    <row r="3" spans="1:11" x14ac:dyDescent="0.3">
      <c r="A3" s="2">
        <v>2</v>
      </c>
      <c r="B3" s="2" t="s">
        <v>8</v>
      </c>
      <c r="C3" s="3">
        <v>72</v>
      </c>
      <c r="D3" s="3">
        <v>65</v>
      </c>
      <c r="E3" s="3">
        <v>80</v>
      </c>
      <c r="F3" s="3">
        <f t="shared" ref="F3:F16" si="0">SUM(C3:E3)</f>
        <v>217</v>
      </c>
      <c r="G3" s="3">
        <f t="shared" ref="G3:G16" si="1">AVERAGE(C3,D3,E3)</f>
        <v>72.333333333333329</v>
      </c>
      <c r="H3" s="3">
        <f t="shared" ref="H3:H16" si="2">MEDIAN(C3,D3,E3)</f>
        <v>72</v>
      </c>
      <c r="I3" s="2" t="str">
        <f t="shared" ref="I3:I16" si="3">IFERROR(_xlfn.MODE.SNGL(C3:E3), "Нет")</f>
        <v>Нет</v>
      </c>
      <c r="J3" s="3">
        <f t="shared" ref="J3:J16" si="4">MIN(C3:E3)</f>
        <v>65</v>
      </c>
      <c r="K3" s="3">
        <f t="shared" ref="K3:K16" si="5">MAX(C3:E3)</f>
        <v>80</v>
      </c>
    </row>
    <row r="4" spans="1:11" x14ac:dyDescent="0.3">
      <c r="A4" s="2">
        <v>3</v>
      </c>
      <c r="B4" s="2" t="s">
        <v>9</v>
      </c>
      <c r="C4" s="3">
        <v>95</v>
      </c>
      <c r="D4" s="3">
        <v>88</v>
      </c>
      <c r="E4" s="3">
        <v>98</v>
      </c>
      <c r="F4" s="3">
        <f t="shared" si="0"/>
        <v>281</v>
      </c>
      <c r="G4" s="3">
        <f t="shared" si="1"/>
        <v>93.666666666666671</v>
      </c>
      <c r="H4" s="3">
        <f t="shared" si="2"/>
        <v>95</v>
      </c>
      <c r="I4" s="2" t="str">
        <f t="shared" si="3"/>
        <v>Нет</v>
      </c>
      <c r="J4" s="3">
        <f t="shared" si="4"/>
        <v>88</v>
      </c>
      <c r="K4" s="3">
        <f t="shared" si="5"/>
        <v>98</v>
      </c>
    </row>
    <row r="5" spans="1:11" x14ac:dyDescent="0.3">
      <c r="A5" s="2">
        <v>4</v>
      </c>
      <c r="B5" s="2" t="s">
        <v>10</v>
      </c>
      <c r="C5" s="3">
        <v>60</v>
      </c>
      <c r="D5" s="3">
        <v>55</v>
      </c>
      <c r="E5" s="3">
        <v>70</v>
      </c>
      <c r="F5" s="3">
        <f t="shared" si="0"/>
        <v>185</v>
      </c>
      <c r="G5" s="3">
        <f t="shared" si="1"/>
        <v>61.666666666666664</v>
      </c>
      <c r="H5" s="3">
        <f t="shared" si="2"/>
        <v>60</v>
      </c>
      <c r="I5" s="2" t="str">
        <f t="shared" si="3"/>
        <v>Нет</v>
      </c>
      <c r="J5" s="3">
        <f t="shared" si="4"/>
        <v>55</v>
      </c>
      <c r="K5" s="3">
        <f t="shared" si="5"/>
        <v>70</v>
      </c>
    </row>
    <row r="6" spans="1:11" x14ac:dyDescent="0.3">
      <c r="A6" s="2">
        <v>5</v>
      </c>
      <c r="B6" s="2" t="s">
        <v>11</v>
      </c>
      <c r="C6" s="3">
        <v>65</v>
      </c>
      <c r="D6" s="3">
        <v>82</v>
      </c>
      <c r="E6" s="3">
        <v>85</v>
      </c>
      <c r="F6" s="3">
        <f t="shared" si="0"/>
        <v>232</v>
      </c>
      <c r="G6" s="3">
        <f t="shared" si="1"/>
        <v>77.333333333333329</v>
      </c>
      <c r="H6" s="3">
        <f t="shared" si="2"/>
        <v>82</v>
      </c>
      <c r="I6" s="2" t="str">
        <f t="shared" si="3"/>
        <v>Нет</v>
      </c>
      <c r="J6" s="3">
        <f t="shared" si="4"/>
        <v>65</v>
      </c>
      <c r="K6" s="3">
        <f t="shared" si="5"/>
        <v>85</v>
      </c>
    </row>
    <row r="7" spans="1:11" x14ac:dyDescent="0.3">
      <c r="A7" s="2">
        <v>6</v>
      </c>
      <c r="B7" s="2" t="s">
        <v>12</v>
      </c>
      <c r="C7" s="3">
        <v>88</v>
      </c>
      <c r="D7" s="3">
        <v>90</v>
      </c>
      <c r="E7" s="3">
        <v>95</v>
      </c>
      <c r="F7" s="3">
        <f t="shared" si="0"/>
        <v>273</v>
      </c>
      <c r="G7" s="3">
        <f t="shared" si="1"/>
        <v>91</v>
      </c>
      <c r="H7" s="3">
        <f t="shared" si="2"/>
        <v>90</v>
      </c>
      <c r="I7" s="2" t="str">
        <f t="shared" si="3"/>
        <v>Нет</v>
      </c>
      <c r="J7" s="3">
        <f t="shared" si="4"/>
        <v>88</v>
      </c>
      <c r="K7" s="3">
        <f t="shared" si="5"/>
        <v>95</v>
      </c>
    </row>
    <row r="8" spans="1:11" x14ac:dyDescent="0.3">
      <c r="A8" s="2">
        <v>7</v>
      </c>
      <c r="B8" s="2" t="s">
        <v>13</v>
      </c>
      <c r="C8" s="3">
        <v>65</v>
      </c>
      <c r="D8" s="3">
        <v>70</v>
      </c>
      <c r="E8" s="3">
        <v>68</v>
      </c>
      <c r="F8" s="3">
        <f t="shared" si="0"/>
        <v>203</v>
      </c>
      <c r="G8" s="3">
        <f t="shared" si="1"/>
        <v>67.666666666666671</v>
      </c>
      <c r="H8" s="3">
        <f t="shared" si="2"/>
        <v>68</v>
      </c>
      <c r="I8" s="2" t="str">
        <f t="shared" si="3"/>
        <v>Нет</v>
      </c>
      <c r="J8" s="3">
        <f t="shared" si="4"/>
        <v>65</v>
      </c>
      <c r="K8" s="3">
        <f t="shared" si="5"/>
        <v>70</v>
      </c>
    </row>
    <row r="9" spans="1:11" x14ac:dyDescent="0.3">
      <c r="A9" s="2">
        <v>8</v>
      </c>
      <c r="B9" s="2" t="s">
        <v>14</v>
      </c>
      <c r="C9" s="3">
        <v>92</v>
      </c>
      <c r="D9" s="3">
        <v>85</v>
      </c>
      <c r="E9" s="3">
        <v>88</v>
      </c>
      <c r="F9" s="3">
        <f t="shared" si="0"/>
        <v>265</v>
      </c>
      <c r="G9" s="3">
        <f t="shared" si="1"/>
        <v>88.333333333333329</v>
      </c>
      <c r="H9" s="3">
        <f t="shared" si="2"/>
        <v>88</v>
      </c>
      <c r="I9" s="2" t="str">
        <f t="shared" si="3"/>
        <v>Нет</v>
      </c>
      <c r="J9" s="3">
        <f t="shared" si="4"/>
        <v>85</v>
      </c>
      <c r="K9" s="3">
        <f t="shared" si="5"/>
        <v>92</v>
      </c>
    </row>
    <row r="10" spans="1:11" x14ac:dyDescent="0.3">
      <c r="A10" s="2">
        <v>9</v>
      </c>
      <c r="B10" s="2" t="s">
        <v>15</v>
      </c>
      <c r="C10" s="3">
        <v>55</v>
      </c>
      <c r="D10" s="3">
        <v>60</v>
      </c>
      <c r="E10" s="3">
        <v>58</v>
      </c>
      <c r="F10" s="3">
        <f t="shared" si="0"/>
        <v>173</v>
      </c>
      <c r="G10" s="3">
        <f t="shared" si="1"/>
        <v>57.666666666666664</v>
      </c>
      <c r="H10" s="3">
        <f t="shared" si="2"/>
        <v>58</v>
      </c>
      <c r="I10" s="2" t="str">
        <f t="shared" si="3"/>
        <v>Нет</v>
      </c>
      <c r="J10" s="3">
        <f t="shared" si="4"/>
        <v>55</v>
      </c>
      <c r="K10" s="3">
        <f t="shared" si="5"/>
        <v>60</v>
      </c>
    </row>
    <row r="11" spans="1:11" x14ac:dyDescent="0.3">
      <c r="A11" s="2">
        <v>10</v>
      </c>
      <c r="B11" s="2" t="s">
        <v>16</v>
      </c>
      <c r="C11" s="3">
        <v>80</v>
      </c>
      <c r="D11" s="3">
        <v>75</v>
      </c>
      <c r="E11" s="3">
        <v>82</v>
      </c>
      <c r="F11" s="3">
        <f t="shared" si="0"/>
        <v>237</v>
      </c>
      <c r="G11" s="3">
        <f t="shared" si="1"/>
        <v>79</v>
      </c>
      <c r="H11" s="3">
        <f t="shared" si="2"/>
        <v>80</v>
      </c>
      <c r="I11" s="2" t="str">
        <f t="shared" si="3"/>
        <v>Нет</v>
      </c>
      <c r="J11" s="3">
        <f t="shared" si="4"/>
        <v>75</v>
      </c>
      <c r="K11" s="3">
        <f t="shared" si="5"/>
        <v>82</v>
      </c>
    </row>
    <row r="12" spans="1:11" x14ac:dyDescent="0.3">
      <c r="A12" s="2">
        <v>11</v>
      </c>
      <c r="B12" s="2" t="s">
        <v>17</v>
      </c>
      <c r="C12" s="3">
        <v>70</v>
      </c>
      <c r="D12" s="3">
        <v>68</v>
      </c>
      <c r="E12" s="3">
        <v>72</v>
      </c>
      <c r="F12" s="3">
        <f t="shared" si="0"/>
        <v>210</v>
      </c>
      <c r="G12" s="3">
        <f t="shared" si="1"/>
        <v>70</v>
      </c>
      <c r="H12" s="3">
        <f t="shared" si="2"/>
        <v>70</v>
      </c>
      <c r="I12" s="2" t="str">
        <f t="shared" si="3"/>
        <v>Нет</v>
      </c>
      <c r="J12" s="3">
        <f t="shared" si="4"/>
        <v>68</v>
      </c>
      <c r="K12" s="3">
        <f t="shared" si="5"/>
        <v>72</v>
      </c>
    </row>
    <row r="13" spans="1:11" x14ac:dyDescent="0.3">
      <c r="A13" s="2">
        <v>12</v>
      </c>
      <c r="B13" s="2" t="s">
        <v>18</v>
      </c>
      <c r="C13" s="3">
        <v>90</v>
      </c>
      <c r="D13" s="3">
        <v>92</v>
      </c>
      <c r="E13" s="3">
        <v>94</v>
      </c>
      <c r="F13" s="3">
        <f t="shared" si="0"/>
        <v>276</v>
      </c>
      <c r="G13" s="3">
        <f t="shared" si="1"/>
        <v>92</v>
      </c>
      <c r="H13" s="3">
        <f t="shared" si="2"/>
        <v>92</v>
      </c>
      <c r="I13" s="2" t="str">
        <f t="shared" si="3"/>
        <v>Нет</v>
      </c>
      <c r="J13" s="3">
        <f t="shared" si="4"/>
        <v>90</v>
      </c>
      <c r="K13" s="3">
        <f t="shared" si="5"/>
        <v>94</v>
      </c>
    </row>
    <row r="14" spans="1:11" x14ac:dyDescent="0.3">
      <c r="A14" s="2">
        <v>13</v>
      </c>
      <c r="B14" s="2" t="s">
        <v>19</v>
      </c>
      <c r="C14" s="3">
        <v>75</v>
      </c>
      <c r="D14" s="3">
        <v>78</v>
      </c>
      <c r="E14" s="3">
        <v>80</v>
      </c>
      <c r="F14" s="3">
        <f t="shared" si="0"/>
        <v>233</v>
      </c>
      <c r="G14" s="3">
        <f t="shared" si="1"/>
        <v>77.666666666666671</v>
      </c>
      <c r="H14" s="3">
        <f t="shared" si="2"/>
        <v>78</v>
      </c>
      <c r="I14" s="2" t="str">
        <f t="shared" si="3"/>
        <v>Нет</v>
      </c>
      <c r="J14" s="3">
        <f t="shared" si="4"/>
        <v>75</v>
      </c>
      <c r="K14" s="3">
        <f t="shared" si="5"/>
        <v>80</v>
      </c>
    </row>
    <row r="15" spans="1:11" x14ac:dyDescent="0.3">
      <c r="A15" s="2">
        <v>14</v>
      </c>
      <c r="B15" s="2" t="s">
        <v>20</v>
      </c>
      <c r="C15" s="3">
        <v>62</v>
      </c>
      <c r="D15" s="3">
        <v>58</v>
      </c>
      <c r="E15" s="3">
        <v>65</v>
      </c>
      <c r="F15" s="3">
        <f t="shared" si="0"/>
        <v>185</v>
      </c>
      <c r="G15" s="3">
        <f t="shared" si="1"/>
        <v>61.666666666666664</v>
      </c>
      <c r="H15" s="3">
        <f t="shared" si="2"/>
        <v>62</v>
      </c>
      <c r="I15" s="2" t="str">
        <f t="shared" si="3"/>
        <v>Нет</v>
      </c>
      <c r="J15" s="3">
        <f t="shared" si="4"/>
        <v>58</v>
      </c>
      <c r="K15" s="3">
        <f t="shared" si="5"/>
        <v>65</v>
      </c>
    </row>
    <row r="16" spans="1:11" x14ac:dyDescent="0.3">
      <c r="A16" s="2">
        <v>15</v>
      </c>
      <c r="B16" s="2" t="s">
        <v>21</v>
      </c>
      <c r="C16" s="3">
        <v>98</v>
      </c>
      <c r="D16" s="3">
        <v>95</v>
      </c>
      <c r="E16" s="3">
        <v>100</v>
      </c>
      <c r="F16" s="3">
        <f t="shared" si="0"/>
        <v>293</v>
      </c>
      <c r="G16" s="3">
        <f t="shared" si="1"/>
        <v>97.666666666666671</v>
      </c>
      <c r="H16" s="3">
        <f t="shared" si="2"/>
        <v>98</v>
      </c>
      <c r="I16" s="2" t="str">
        <f t="shared" si="3"/>
        <v>Нет</v>
      </c>
      <c r="J16" s="3">
        <f t="shared" si="4"/>
        <v>95</v>
      </c>
      <c r="K16" s="3">
        <f t="shared" si="5"/>
        <v>100</v>
      </c>
    </row>
    <row r="19" spans="1:9" x14ac:dyDescent="0.3">
      <c r="A19" s="6" t="s">
        <v>0</v>
      </c>
      <c r="B19" s="6" t="s">
        <v>26</v>
      </c>
      <c r="C19" s="6" t="s">
        <v>27</v>
      </c>
      <c r="D19" s="6" t="s">
        <v>28</v>
      </c>
      <c r="E19" s="1" t="s">
        <v>44</v>
      </c>
      <c r="F19" s="1" t="s">
        <v>45</v>
      </c>
      <c r="H19" s="1" t="s">
        <v>50</v>
      </c>
      <c r="I19" s="2">
        <f>COUNTIF(F20:F34,"Топ")</f>
        <v>3</v>
      </c>
    </row>
    <row r="20" spans="1:9" x14ac:dyDescent="0.3">
      <c r="A20" s="5">
        <v>1</v>
      </c>
      <c r="B20" s="5" t="s">
        <v>29</v>
      </c>
      <c r="C20" s="7">
        <v>45000</v>
      </c>
      <c r="D20" s="7">
        <v>12</v>
      </c>
      <c r="E20" s="2">
        <f>C20*D20</f>
        <v>540000</v>
      </c>
      <c r="F20" s="2" t="str">
        <f>IF(E20&gt;100000,"Топ",IF(E20&gt;50000,"Средний","Низкий"))</f>
        <v>Топ</v>
      </c>
      <c r="H20" s="1" t="s">
        <v>51</v>
      </c>
      <c r="I20" s="2">
        <f>SUMIF(E20:E34,"&gt;100000")</f>
        <v>1102000</v>
      </c>
    </row>
    <row r="21" spans="1:9" x14ac:dyDescent="0.3">
      <c r="A21" s="5">
        <v>2</v>
      </c>
      <c r="B21" s="5" t="s">
        <v>30</v>
      </c>
      <c r="C21" s="7">
        <v>18000</v>
      </c>
      <c r="D21" s="7">
        <v>25</v>
      </c>
      <c r="E21" s="2">
        <f t="shared" ref="E21:E34" si="6">C21*D21</f>
        <v>450000</v>
      </c>
      <c r="F21" s="2" t="str">
        <f t="shared" ref="F21:F35" si="7">IF(E21&gt;100000,"Топ",IF(E21&gt;50000,"Средний","Низкий"))</f>
        <v>Топ</v>
      </c>
      <c r="H21" s="1" t="s">
        <v>52</v>
      </c>
      <c r="I21" s="2">
        <f>AVERAGEIFS(E20:E34,F20:F34,"Средний")</f>
        <v>73011.111111111109</v>
      </c>
    </row>
    <row r="22" spans="1:9" x14ac:dyDescent="0.3">
      <c r="A22" s="5">
        <v>3</v>
      </c>
      <c r="B22" s="5" t="s">
        <v>31</v>
      </c>
      <c r="C22" s="7">
        <v>1500</v>
      </c>
      <c r="D22" s="7">
        <v>60</v>
      </c>
      <c r="E22" s="2">
        <f t="shared" si="6"/>
        <v>90000</v>
      </c>
      <c r="F22" s="2" t="str">
        <f t="shared" si="7"/>
        <v>Средний</v>
      </c>
    </row>
    <row r="23" spans="1:9" x14ac:dyDescent="0.3">
      <c r="A23" s="5">
        <v>4</v>
      </c>
      <c r="B23" s="5" t="s">
        <v>32</v>
      </c>
      <c r="C23" s="7">
        <v>800</v>
      </c>
      <c r="D23" s="7">
        <v>85</v>
      </c>
      <c r="E23" s="2">
        <f t="shared" si="6"/>
        <v>68000</v>
      </c>
      <c r="F23" s="2" t="str">
        <f t="shared" si="7"/>
        <v>Средний</v>
      </c>
    </row>
    <row r="24" spans="1:9" x14ac:dyDescent="0.3">
      <c r="A24" s="5">
        <v>5</v>
      </c>
      <c r="B24" s="5" t="s">
        <v>33</v>
      </c>
      <c r="C24" s="7">
        <v>12000</v>
      </c>
      <c r="D24" s="7">
        <v>8</v>
      </c>
      <c r="E24" s="2">
        <f t="shared" si="6"/>
        <v>96000</v>
      </c>
      <c r="F24" s="2" t="str">
        <f t="shared" si="7"/>
        <v>Средний</v>
      </c>
    </row>
    <row r="25" spans="1:9" x14ac:dyDescent="0.3">
      <c r="A25" s="5">
        <v>6</v>
      </c>
      <c r="B25" s="5" t="s">
        <v>34</v>
      </c>
      <c r="C25" s="7">
        <v>9000</v>
      </c>
      <c r="D25" s="7">
        <v>6</v>
      </c>
      <c r="E25" s="2">
        <f t="shared" si="6"/>
        <v>54000</v>
      </c>
      <c r="F25" s="2" t="str">
        <f t="shared" si="7"/>
        <v>Средний</v>
      </c>
    </row>
    <row r="26" spans="1:9" x14ac:dyDescent="0.3">
      <c r="A26" s="4">
        <v>7</v>
      </c>
      <c r="B26" s="4" t="s">
        <v>35</v>
      </c>
      <c r="C26" s="8">
        <v>600</v>
      </c>
      <c r="D26" s="8">
        <v>120</v>
      </c>
      <c r="E26" s="2">
        <f t="shared" si="6"/>
        <v>72000</v>
      </c>
      <c r="F26" s="2" t="str">
        <f t="shared" si="7"/>
        <v>Средний</v>
      </c>
    </row>
    <row r="27" spans="1:9" x14ac:dyDescent="0.3">
      <c r="A27" s="5">
        <v>8</v>
      </c>
      <c r="B27" s="5" t="s">
        <v>36</v>
      </c>
      <c r="C27" s="7">
        <v>5500</v>
      </c>
      <c r="D27" s="7">
        <v>15</v>
      </c>
      <c r="E27" s="2">
        <f t="shared" si="6"/>
        <v>82500</v>
      </c>
      <c r="F27" s="2" t="str">
        <f t="shared" si="7"/>
        <v>Средний</v>
      </c>
    </row>
    <row r="28" spans="1:9" x14ac:dyDescent="0.3">
      <c r="A28" s="5">
        <v>9</v>
      </c>
      <c r="B28" s="5" t="s">
        <v>37</v>
      </c>
      <c r="C28" s="7">
        <v>2800</v>
      </c>
      <c r="D28" s="7">
        <v>22</v>
      </c>
      <c r="E28" s="2">
        <f t="shared" si="6"/>
        <v>61600</v>
      </c>
      <c r="F28" s="2" t="str">
        <f t="shared" si="7"/>
        <v>Средний</v>
      </c>
    </row>
    <row r="29" spans="1:9" x14ac:dyDescent="0.3">
      <c r="A29" s="5">
        <v>10</v>
      </c>
      <c r="B29" s="5" t="s">
        <v>38</v>
      </c>
      <c r="C29" s="7">
        <v>3200</v>
      </c>
      <c r="D29" s="7">
        <v>35</v>
      </c>
      <c r="E29" s="2">
        <f t="shared" si="6"/>
        <v>112000</v>
      </c>
      <c r="F29" s="2" t="str">
        <f t="shared" si="7"/>
        <v>Топ</v>
      </c>
    </row>
    <row r="30" spans="1:9" x14ac:dyDescent="0.3">
      <c r="A30" s="4">
        <v>11</v>
      </c>
      <c r="B30" s="4" t="s">
        <v>39</v>
      </c>
      <c r="C30" s="8">
        <v>400</v>
      </c>
      <c r="D30" s="8">
        <v>90</v>
      </c>
      <c r="E30" s="2">
        <f t="shared" si="6"/>
        <v>36000</v>
      </c>
      <c r="F30" s="2" t="str">
        <f t="shared" si="7"/>
        <v>Низкий</v>
      </c>
    </row>
    <row r="31" spans="1:9" x14ac:dyDescent="0.3">
      <c r="A31" s="5">
        <v>12</v>
      </c>
      <c r="B31" s="5" t="s">
        <v>40</v>
      </c>
      <c r="C31" s="7">
        <v>1200</v>
      </c>
      <c r="D31" s="7">
        <v>40</v>
      </c>
      <c r="E31" s="2">
        <f t="shared" si="6"/>
        <v>48000</v>
      </c>
      <c r="F31" s="2" t="str">
        <f t="shared" si="7"/>
        <v>Низкий</v>
      </c>
    </row>
    <row r="32" spans="1:9" x14ac:dyDescent="0.3">
      <c r="A32" s="5">
        <v>13</v>
      </c>
      <c r="B32" s="5" t="s">
        <v>41</v>
      </c>
      <c r="C32" s="7">
        <v>2500</v>
      </c>
      <c r="D32" s="7">
        <v>18</v>
      </c>
      <c r="E32" s="2">
        <f t="shared" si="6"/>
        <v>45000</v>
      </c>
      <c r="F32" s="2" t="str">
        <f t="shared" si="7"/>
        <v>Низкий</v>
      </c>
    </row>
    <row r="33" spans="1:6" x14ac:dyDescent="0.3">
      <c r="A33" s="5">
        <v>14</v>
      </c>
      <c r="B33" s="5" t="s">
        <v>42</v>
      </c>
      <c r="C33" s="7">
        <v>350</v>
      </c>
      <c r="D33" s="7">
        <v>200</v>
      </c>
      <c r="E33" s="2">
        <f t="shared" si="6"/>
        <v>70000</v>
      </c>
      <c r="F33" s="2" t="str">
        <f t="shared" si="7"/>
        <v>Средний</v>
      </c>
    </row>
    <row r="34" spans="1:6" x14ac:dyDescent="0.3">
      <c r="A34" s="5">
        <v>15</v>
      </c>
      <c r="B34" s="5" t="s">
        <v>43</v>
      </c>
      <c r="C34" s="7">
        <v>4500</v>
      </c>
      <c r="D34" s="7">
        <v>14</v>
      </c>
      <c r="E34" s="2">
        <f t="shared" si="6"/>
        <v>63000</v>
      </c>
      <c r="F34" s="2" t="str">
        <f t="shared" si="7"/>
        <v>Средний</v>
      </c>
    </row>
    <row r="35" spans="1:6" x14ac:dyDescent="0.3">
      <c r="D35" s="1" t="s">
        <v>46</v>
      </c>
      <c r="E35" s="9">
        <f>SUM(E20:E34)</f>
        <v>1888100</v>
      </c>
      <c r="F35" s="11"/>
    </row>
    <row r="36" spans="1:6" x14ac:dyDescent="0.3">
      <c r="D36" s="1" t="s">
        <v>47</v>
      </c>
      <c r="E36" s="10">
        <f>AVERAGE(E20:E34)</f>
        <v>125873.33333333333</v>
      </c>
    </row>
    <row r="37" spans="1:6" x14ac:dyDescent="0.3">
      <c r="D37" s="1" t="s">
        <v>22</v>
      </c>
      <c r="E37" s="2">
        <f>MEDIAN(E20:E34)</f>
        <v>70000</v>
      </c>
    </row>
    <row r="38" spans="1:6" x14ac:dyDescent="0.3">
      <c r="D38" s="1" t="s">
        <v>23</v>
      </c>
      <c r="E38" s="2" t="str">
        <f>IFERROR(_xlfn.MODE.SNGL(E20:E34), "Нет")</f>
        <v>Нет</v>
      </c>
    </row>
    <row r="39" spans="1:6" x14ac:dyDescent="0.3">
      <c r="D39" s="1" t="s">
        <v>24</v>
      </c>
      <c r="E39" s="2">
        <f>MIN(E20:E34)</f>
        <v>36000</v>
      </c>
    </row>
    <row r="40" spans="1:6" x14ac:dyDescent="0.3">
      <c r="D40" s="1" t="s">
        <v>25</v>
      </c>
      <c r="E40" s="2">
        <f>MAX(E20:E34)</f>
        <v>540000</v>
      </c>
    </row>
    <row r="41" spans="1:6" x14ac:dyDescent="0.3">
      <c r="D41" s="1" t="s">
        <v>48</v>
      </c>
      <c r="E41" s="2">
        <f>_xlfn.STDEV.S(E20:E34)</f>
        <v>152155.31757604354</v>
      </c>
    </row>
    <row r="42" spans="1:6" x14ac:dyDescent="0.3">
      <c r="D42" s="1" t="s">
        <v>49</v>
      </c>
      <c r="E42" s="2">
        <f>_xlfn.VAR.S(E20:E34)</f>
        <v>23151240666.666668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Статистика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2026-09-29T10:52:02Z</dcterms:created>
  <dcterms:modified xsi:type="dcterms:W3CDTF">2026-10-13T10:37:46Z</dcterms:modified>
</cp:coreProperties>
</file>